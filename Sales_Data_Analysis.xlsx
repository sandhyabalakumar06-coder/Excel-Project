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81cea8aa67aa5357/Desktop/"/>
    </mc:Choice>
  </mc:AlternateContent>
  <xr:revisionPtr revIDLastSave="196" documentId="8_{FB6B5818-899E-4A7F-80B2-8E60BD5C624E}" xr6:coauthVersionLast="47" xr6:coauthVersionMax="47" xr10:uidLastSave="{E6A43EF2-D7FD-4C9F-81F7-08CCF1C814E7}"/>
  <bookViews>
    <workbookView xWindow="-108" yWindow="-108" windowWidth="23256" windowHeight="12456" activeTab="3" xr2:uid="{3B1A1743-3D3A-4EDA-AC9A-CE52E9607913}"/>
  </bookViews>
  <sheets>
    <sheet name="Sheet4" sheetId="4" r:id="rId1"/>
    <sheet name="Raw_Data" sheetId="1" r:id="rId2"/>
    <sheet name="Sales_Analysis" sheetId="2" r:id="rId3"/>
    <sheet name="Dashboard" sheetId="3" r:id="rId4"/>
  </sheets>
  <definedNames>
    <definedName name="Slicer_Region">#N/A</definedName>
  </definedNames>
  <calcPr calcId="191029"/>
  <pivotCaches>
    <pivotCache cacheId="4"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3" l="1"/>
  <c r="F3" i="3"/>
  <c r="D3" i="3"/>
  <c r="I4" i="2"/>
  <c r="I5" i="2"/>
  <c r="I6" i="2"/>
  <c r="I3" i="2"/>
  <c r="F4" i="2"/>
  <c r="F5" i="2"/>
  <c r="F6" i="2"/>
  <c r="F7" i="2"/>
  <c r="F8" i="2"/>
  <c r="F3" i="2"/>
  <c r="E4" i="2"/>
  <c r="E5" i="2"/>
  <c r="E6" i="2"/>
  <c r="E7" i="2"/>
  <c r="E8" i="2"/>
  <c r="E3" i="2"/>
  <c r="B5" i="2"/>
  <c r="B4" i="2"/>
  <c r="B3" i="2"/>
  <c r="H3" i="1"/>
  <c r="H4" i="1"/>
  <c r="H5" i="1"/>
  <c r="H6" i="1"/>
  <c r="H7" i="1"/>
  <c r="H8" i="1"/>
  <c r="H9" i="1"/>
  <c r="H10" i="1"/>
  <c r="H11" i="1"/>
  <c r="H12" i="1"/>
  <c r="H13" i="1"/>
  <c r="H14" i="1"/>
  <c r="H15" i="1"/>
  <c r="H16" i="1"/>
  <c r="H17" i="1"/>
  <c r="H18" i="1"/>
  <c r="H19" i="1"/>
  <c r="H20" i="1"/>
  <c r="H21" i="1"/>
  <c r="H22" i="1"/>
  <c r="H23" i="1"/>
  <c r="H24" i="1"/>
  <c r="H25" i="1"/>
  <c r="H26" i="1"/>
  <c r="H2" i="1"/>
</calcChain>
</file>

<file path=xl/sharedStrings.xml><?xml version="1.0" encoding="utf-8"?>
<sst xmlns="http://schemas.openxmlformats.org/spreadsheetml/2006/main" count="119" uniqueCount="33">
  <si>
    <t>Order_ID</t>
  </si>
  <si>
    <t>Product</t>
  </si>
  <si>
    <t>Category</t>
  </si>
  <si>
    <t>Region</t>
  </si>
  <si>
    <t>Quantity</t>
  </si>
  <si>
    <t>Unit_price</t>
  </si>
  <si>
    <t>Revenue</t>
  </si>
  <si>
    <t>Order_Date</t>
  </si>
  <si>
    <t>Laptop</t>
  </si>
  <si>
    <t>Electronics</t>
  </si>
  <si>
    <t>South</t>
  </si>
  <si>
    <t>Mouse</t>
  </si>
  <si>
    <t>Accessories</t>
  </si>
  <si>
    <t>North</t>
  </si>
  <si>
    <t>Keyboard</t>
  </si>
  <si>
    <t>West</t>
  </si>
  <si>
    <t>Monitor</t>
  </si>
  <si>
    <t>East</t>
  </si>
  <si>
    <t>Headphones</t>
  </si>
  <si>
    <t>Printer</t>
  </si>
  <si>
    <t>Sales Performance Analysis</t>
  </si>
  <si>
    <t>Metric</t>
  </si>
  <si>
    <t>Total Sales</t>
  </si>
  <si>
    <t>Total Order</t>
  </si>
  <si>
    <t>Total Quantity</t>
  </si>
  <si>
    <t>values</t>
  </si>
  <si>
    <t>Total Revenue</t>
  </si>
  <si>
    <t>printer</t>
  </si>
  <si>
    <t>SALES PERFORMANCE DASHBOARD</t>
  </si>
  <si>
    <t xml:space="preserve"> </t>
  </si>
  <si>
    <t>Row Labels</t>
  </si>
  <si>
    <t>Grand Total</t>
  </si>
  <si>
    <t>Sum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</si>
</sst>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quot;₹&quot;\ #,##0.00"/>
  </numFmts>
  <fonts count="3" x14ac:knownFonts="1">
    <font>
      <sz val="11"/>
      <color theme="1"/>
      <name val="Calibri"/>
      <family val="2"/>
      <scheme val="minor"/>
    </font>
    <font>
      <b/>
      <sz val="11"/>
      <color theme="1"/>
      <name val="Calibri"/>
      <family val="2"/>
      <scheme val="minor"/>
    </font>
    <font>
      <b/>
      <sz val="16"/>
      <color theme="0"/>
      <name val="Calibri"/>
      <family val="2"/>
      <scheme val="minor"/>
    </font>
  </fonts>
  <fills count="6">
    <fill>
      <patternFill patternType="none"/>
    </fill>
    <fill>
      <patternFill patternType="gray125"/>
    </fill>
    <fill>
      <patternFill patternType="solid">
        <fgColor theme="8" tint="-0.249977111117893"/>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166" fontId="0" fillId="0" borderId="0" xfId="0" applyNumberFormat="1"/>
    <xf numFmtId="0" fontId="2" fillId="2" borderId="0" xfId="0" applyFont="1" applyFill="1" applyAlignment="1">
      <alignment horizontal="center"/>
    </xf>
    <xf numFmtId="0" fontId="0" fillId="3" borderId="0" xfId="0" applyFill="1"/>
    <xf numFmtId="0" fontId="0" fillId="4" borderId="0" xfId="0" applyFill="1"/>
    <xf numFmtId="0" fontId="0" fillId="5" borderId="0" xfId="0" applyFill="1"/>
    <xf numFmtId="0" fontId="1" fillId="0" borderId="0" xfId="0" applyFont="1"/>
    <xf numFmtId="166" fontId="0" fillId="3" borderId="0" xfId="0" applyNumberFormat="1" applyFill="1"/>
    <xf numFmtId="0" fontId="0" fillId="0" borderId="0" xfId="0" pivotButton="1"/>
    <xf numFmtId="0" fontId="0" fillId="0" borderId="0" xfId="0" applyAlignment="1">
      <alignment horizontal="left"/>
    </xf>
  </cellXfs>
  <cellStyles count="1">
    <cellStyle name="Normal" xfId="0" builtinId="0"/>
  </cellStyles>
  <dxfs count="3">
    <dxf>
      <numFmt numFmtId="166" formatCode="&quot;₹&quot;\ #,##0.00"/>
    </dxf>
    <dxf>
      <numFmt numFmtId="166" formatCode="&quot;₹&quot;\ #,##0.0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Product-wise Revenue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1"/>
          <c:order val="1"/>
          <c:tx>
            <c:strRef>
              <c:f>Sales_Analysis!$F$2</c:f>
              <c:strCache>
                <c:ptCount val="1"/>
                <c:pt idx="0">
                  <c:v>Total Revenue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Sales_Analysis!$D$3:$D$8</c:f>
              <c:strCache>
                <c:ptCount val="6"/>
                <c:pt idx="0">
                  <c:v>Laptop</c:v>
                </c:pt>
                <c:pt idx="1">
                  <c:v>Mouse</c:v>
                </c:pt>
                <c:pt idx="2">
                  <c:v>Keyboard</c:v>
                </c:pt>
                <c:pt idx="3">
                  <c:v>Monitor</c:v>
                </c:pt>
                <c:pt idx="4">
                  <c:v>Headphones</c:v>
                </c:pt>
                <c:pt idx="5">
                  <c:v>printer</c:v>
                </c:pt>
              </c:strCache>
            </c:strRef>
          </c:cat>
          <c:val>
            <c:numRef>
              <c:f>Sales_Analysis!$F$3:$F$8</c:f>
              <c:numCache>
                <c:formatCode>General</c:formatCode>
                <c:ptCount val="6"/>
                <c:pt idx="0">
                  <c:v>360000</c:v>
                </c:pt>
                <c:pt idx="1">
                  <c:v>20500</c:v>
                </c:pt>
                <c:pt idx="2">
                  <c:v>24000</c:v>
                </c:pt>
                <c:pt idx="3">
                  <c:v>96000</c:v>
                </c:pt>
                <c:pt idx="4">
                  <c:v>26000</c:v>
                </c:pt>
                <c:pt idx="5">
                  <c:v>68000</c:v>
                </c:pt>
              </c:numCache>
            </c:numRef>
          </c:val>
          <c:extLst>
            <c:ext xmlns:c16="http://schemas.microsoft.com/office/drawing/2014/chart" uri="{C3380CC4-5D6E-409C-BE32-E72D297353CC}">
              <c16:uniqueId val="{00000000-74E6-411A-9D46-2803AD48EF9E}"/>
            </c:ext>
          </c:extLst>
        </c:ser>
        <c:dLbls>
          <c:dLblPos val="outEnd"/>
          <c:showLegendKey val="0"/>
          <c:showVal val="1"/>
          <c:showCatName val="0"/>
          <c:showSerName val="0"/>
          <c:showPercent val="0"/>
          <c:showBubbleSize val="0"/>
        </c:dLbls>
        <c:gapWidth val="219"/>
        <c:overlap val="-27"/>
        <c:axId val="1062895968"/>
        <c:axId val="687894896"/>
        <c:extLst>
          <c:ext xmlns:c15="http://schemas.microsoft.com/office/drawing/2012/chart" uri="{02D57815-91ED-43cb-92C2-25804820EDAC}">
            <c15:filteredBarSeries>
              <c15:ser>
                <c:idx val="0"/>
                <c:order val="0"/>
                <c:tx>
                  <c:strRef>
                    <c:extLst>
                      <c:ext uri="{02D57815-91ED-43cb-92C2-25804820EDAC}">
                        <c15:formulaRef>
                          <c15:sqref>Sales_Analysis!$E$2</c15:sqref>
                        </c15:formulaRef>
                      </c:ext>
                    </c:extLst>
                    <c:strCache>
                      <c:ptCount val="1"/>
                      <c:pt idx="0">
                        <c:v>Total Quantity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Sales_Analysis!$D$3:$D$8</c15:sqref>
                        </c15:formulaRef>
                      </c:ext>
                    </c:extLst>
                    <c:strCache>
                      <c:ptCount val="6"/>
                      <c:pt idx="0">
                        <c:v>Laptop</c:v>
                      </c:pt>
                      <c:pt idx="1">
                        <c:v>Mouse</c:v>
                      </c:pt>
                      <c:pt idx="2">
                        <c:v>Keyboard</c:v>
                      </c:pt>
                      <c:pt idx="3">
                        <c:v>Monitor</c:v>
                      </c:pt>
                      <c:pt idx="4">
                        <c:v>Headphones</c:v>
                      </c:pt>
                      <c:pt idx="5">
                        <c:v>printer</c:v>
                      </c:pt>
                    </c:strCache>
                  </c:strRef>
                </c:cat>
                <c:val>
                  <c:numRef>
                    <c:extLst>
                      <c:ext uri="{02D57815-91ED-43cb-92C2-25804820EDAC}">
                        <c15:formulaRef>
                          <c15:sqref>Sales_Analysis!$E$3:$E$8</c15:sqref>
                        </c15:formulaRef>
                      </c:ext>
                    </c:extLst>
                    <c:numCache>
                      <c:formatCode>General</c:formatCode>
                      <c:ptCount val="6"/>
                      <c:pt idx="0">
                        <c:v>8</c:v>
                      </c:pt>
                      <c:pt idx="1">
                        <c:v>41</c:v>
                      </c:pt>
                      <c:pt idx="2">
                        <c:v>20</c:v>
                      </c:pt>
                      <c:pt idx="3">
                        <c:v>8</c:v>
                      </c:pt>
                      <c:pt idx="4">
                        <c:v>13</c:v>
                      </c:pt>
                      <c:pt idx="5">
                        <c:v>8</c:v>
                      </c:pt>
                    </c:numCache>
                  </c:numRef>
                </c:val>
                <c:extLst>
                  <c:ext xmlns:c16="http://schemas.microsoft.com/office/drawing/2014/chart" uri="{C3380CC4-5D6E-409C-BE32-E72D297353CC}">
                    <c16:uniqueId val="{00000001-74E6-411A-9D46-2803AD48EF9E}"/>
                  </c:ext>
                </c:extLst>
              </c15:ser>
            </c15:filteredBarSeries>
          </c:ext>
        </c:extLst>
      </c:barChart>
      <c:catAx>
        <c:axId val="106289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894896"/>
        <c:crosses val="autoZero"/>
        <c:auto val="1"/>
        <c:lblAlgn val="ctr"/>
        <c:lblOffset val="100"/>
        <c:noMultiLvlLbl val="0"/>
      </c:catAx>
      <c:valAx>
        <c:axId val="687894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8959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Region-wise Revenue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Sales_Analysis!$I$2</c:f>
              <c:strCache>
                <c:ptCount val="1"/>
                <c:pt idx="0">
                  <c:v>Total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Sales_Analysis!$H$3:$H$6</c:f>
              <c:strCache>
                <c:ptCount val="4"/>
                <c:pt idx="0">
                  <c:v>North</c:v>
                </c:pt>
                <c:pt idx="1">
                  <c:v>South</c:v>
                </c:pt>
                <c:pt idx="2">
                  <c:v>East</c:v>
                </c:pt>
                <c:pt idx="3">
                  <c:v>West</c:v>
                </c:pt>
              </c:strCache>
            </c:strRef>
          </c:cat>
          <c:val>
            <c:numRef>
              <c:f>Sales_Analysis!$I$3:$I$6</c:f>
              <c:numCache>
                <c:formatCode>General</c:formatCode>
                <c:ptCount val="4"/>
                <c:pt idx="0">
                  <c:v>121900</c:v>
                </c:pt>
                <c:pt idx="1">
                  <c:v>170700</c:v>
                </c:pt>
                <c:pt idx="2">
                  <c:v>155300</c:v>
                </c:pt>
                <c:pt idx="3">
                  <c:v>146600</c:v>
                </c:pt>
              </c:numCache>
            </c:numRef>
          </c:val>
          <c:extLst>
            <c:ext xmlns:c16="http://schemas.microsoft.com/office/drawing/2014/chart" uri="{C3380CC4-5D6E-409C-BE32-E72D297353CC}">
              <c16:uniqueId val="{00000000-3632-4716-8DF3-C21B1C6F43A5}"/>
            </c:ext>
          </c:extLst>
        </c:ser>
        <c:dLbls>
          <c:dLblPos val="outEnd"/>
          <c:showLegendKey val="0"/>
          <c:showVal val="1"/>
          <c:showCatName val="0"/>
          <c:showSerName val="0"/>
          <c:showPercent val="0"/>
          <c:showBubbleSize val="0"/>
        </c:dLbls>
        <c:gapWidth val="219"/>
        <c:overlap val="-27"/>
        <c:axId val="620336288"/>
        <c:axId val="687888176"/>
      </c:barChart>
      <c:catAx>
        <c:axId val="62033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888176"/>
        <c:crosses val="autoZero"/>
        <c:auto val="1"/>
        <c:lblAlgn val="ctr"/>
        <c:lblOffset val="100"/>
        <c:noMultiLvlLbl val="0"/>
      </c:catAx>
      <c:valAx>
        <c:axId val="687888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336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[Sales_Data_Analysis.xlsx]Sheet4!PivotTable1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Sheet4!$A$4:$A$9</c:f>
              <c:strCache>
                <c:ptCount val="5"/>
                <c:pt idx="0">
                  <c:v>Headphones</c:v>
                </c:pt>
                <c:pt idx="1">
                  <c:v>Keyboard</c:v>
                </c:pt>
                <c:pt idx="2">
                  <c:v>Laptop</c:v>
                </c:pt>
                <c:pt idx="3">
                  <c:v>Monitor</c:v>
                </c:pt>
                <c:pt idx="4">
                  <c:v>Printer</c:v>
                </c:pt>
              </c:strCache>
            </c:strRef>
          </c:cat>
          <c:val>
            <c:numRef>
              <c:f>Sheet4!$B$4:$B$9</c:f>
              <c:numCache>
                <c:formatCode>"₹"\ #,##0.00</c:formatCode>
                <c:ptCount val="5"/>
                <c:pt idx="0">
                  <c:v>8000</c:v>
                </c:pt>
                <c:pt idx="1">
                  <c:v>7200</c:v>
                </c:pt>
                <c:pt idx="2">
                  <c:v>135000</c:v>
                </c:pt>
                <c:pt idx="3">
                  <c:v>12000</c:v>
                </c:pt>
                <c:pt idx="4">
                  <c:v>8500</c:v>
                </c:pt>
              </c:numCache>
            </c:numRef>
          </c:val>
          <c:extLst>
            <c:ext xmlns:c16="http://schemas.microsoft.com/office/drawing/2014/chart" uri="{C3380CC4-5D6E-409C-BE32-E72D297353CC}">
              <c16:uniqueId val="{00000000-81D5-4612-8D20-09B10CD00101}"/>
            </c:ext>
          </c:extLst>
        </c:ser>
        <c:dLbls>
          <c:showLegendKey val="0"/>
          <c:showVal val="0"/>
          <c:showCatName val="0"/>
          <c:showSerName val="0"/>
          <c:showPercent val="0"/>
          <c:showBubbleSize val="0"/>
        </c:dLbls>
        <c:gapWidth val="219"/>
        <c:overlap val="-27"/>
        <c:axId val="1057523616"/>
        <c:axId val="687881936"/>
      </c:barChart>
      <c:catAx>
        <c:axId val="105752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881936"/>
        <c:crosses val="autoZero"/>
        <c:auto val="1"/>
        <c:lblAlgn val="ctr"/>
        <c:lblOffset val="100"/>
        <c:noMultiLvlLbl val="0"/>
      </c:catAx>
      <c:valAx>
        <c:axId val="6878819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523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0</xdr:rowOff>
    </xdr:from>
    <xdr:to>
      <xdr:col>4</xdr:col>
      <xdr:colOff>337825</xdr:colOff>
      <xdr:row>18</xdr:row>
      <xdr:rowOff>156887</xdr:rowOff>
    </xdr:to>
    <xdr:graphicFrame macro="">
      <xdr:nvGraphicFramePr>
        <xdr:cNvPr id="2" name="Chart 1">
          <a:extLst>
            <a:ext uri="{FF2B5EF4-FFF2-40B4-BE49-F238E27FC236}">
              <a16:creationId xmlns:a16="http://schemas.microsoft.com/office/drawing/2014/main" id="{50210065-1B55-41FD-99D1-F670D4E3AC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4</xdr:row>
      <xdr:rowOff>0</xdr:rowOff>
    </xdr:from>
    <xdr:to>
      <xdr:col>12</xdr:col>
      <xdr:colOff>300715</xdr:colOff>
      <xdr:row>18</xdr:row>
      <xdr:rowOff>155153</xdr:rowOff>
    </xdr:to>
    <xdr:graphicFrame macro="">
      <xdr:nvGraphicFramePr>
        <xdr:cNvPr id="3" name="Chart 2">
          <a:extLst>
            <a:ext uri="{FF2B5EF4-FFF2-40B4-BE49-F238E27FC236}">
              <a16:creationId xmlns:a16="http://schemas.microsoft.com/office/drawing/2014/main" id="{A326108F-6298-440B-98C4-19F546FED5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22</xdr:row>
      <xdr:rowOff>0</xdr:rowOff>
    </xdr:from>
    <xdr:to>
      <xdr:col>7</xdr:col>
      <xdr:colOff>326572</xdr:colOff>
      <xdr:row>37</xdr:row>
      <xdr:rowOff>21771</xdr:rowOff>
    </xdr:to>
    <xdr:graphicFrame macro="">
      <xdr:nvGraphicFramePr>
        <xdr:cNvPr id="4" name="Chart 3">
          <a:extLst>
            <a:ext uri="{FF2B5EF4-FFF2-40B4-BE49-F238E27FC236}">
              <a16:creationId xmlns:a16="http://schemas.microsoft.com/office/drawing/2014/main" id="{781D619C-00D8-4CC5-99C4-39902FEFE9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0</xdr:colOff>
      <xdr:row>23</xdr:row>
      <xdr:rowOff>0</xdr:rowOff>
    </xdr:from>
    <xdr:to>
      <xdr:col>11</xdr:col>
      <xdr:colOff>5443</xdr:colOff>
      <xdr:row>36</xdr:row>
      <xdr:rowOff>108404</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94B5ABA9-51B7-4571-BABA-25C21F84DE5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921500" y="4254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HYA BK" refreshedDate="46310.898204282406" createdVersion="8" refreshedVersion="8" minRefreshableVersion="3" recordCount="25" xr:uid="{39E6E06A-D74E-4274-9245-D700F585626B}">
  <cacheSource type="worksheet">
    <worksheetSource name="Table1"/>
  </cacheSource>
  <cacheFields count="8">
    <cacheField name="Order_ID" numFmtId="0">
      <sharedItems containsSemiMixedTypes="0" containsString="0" containsNumber="1" containsInteger="1" minValue="1001" maxValue="1025"/>
    </cacheField>
    <cacheField name="Order_Date" numFmtId="14">
      <sharedItems containsSemiMixedTypes="0" containsNonDate="0" containsDate="1" containsString="0" minDate="2026-01-01T00:00:00" maxDate="2026-03-22T00:00:00"/>
    </cacheField>
    <cacheField name="Product" numFmtId="0">
      <sharedItems count="6">
        <s v="Laptop"/>
        <s v="Mouse"/>
        <s v="Keyboard"/>
        <s v="Monitor"/>
        <s v="Headphones"/>
        <s v="Printer"/>
      </sharedItems>
    </cacheField>
    <cacheField name="Category" numFmtId="0">
      <sharedItems/>
    </cacheField>
    <cacheField name="Region" numFmtId="0">
      <sharedItems count="4">
        <s v="South"/>
        <s v="North"/>
        <s v="West"/>
        <s v="East"/>
      </sharedItems>
    </cacheField>
    <cacheField name="Quantity" numFmtId="0">
      <sharedItems containsSemiMixedTypes="0" containsString="0" containsNumber="1" containsInteger="1" minValue="1" maxValue="12"/>
    </cacheField>
    <cacheField name="Unit_price" numFmtId="166">
      <sharedItems containsSemiMixedTypes="0" containsString="0" containsNumber="1" containsInteger="1" minValue="500" maxValue="45000"/>
    </cacheField>
    <cacheField name="Revenue" numFmtId="166">
      <sharedItems containsSemiMixedTypes="0" containsString="0" containsNumber="1" containsInteger="1" minValue="2500" maxValue="90000"/>
    </cacheField>
  </cacheFields>
  <extLst>
    <ext xmlns:x14="http://schemas.microsoft.com/office/spreadsheetml/2009/9/main" uri="{725AE2AE-9491-48be-B2B4-4EB974FC3084}">
      <x14:pivotCacheDefinition pivotCacheId="21394091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n v="1001"/>
    <d v="2026-01-01T00:00:00"/>
    <x v="0"/>
    <s v="Electronics"/>
    <x v="0"/>
    <n v="2"/>
    <n v="45000"/>
    <n v="90000"/>
  </r>
  <r>
    <n v="1002"/>
    <d v="2026-01-02T00:00:00"/>
    <x v="1"/>
    <s v="Accessories"/>
    <x v="1"/>
    <n v="5"/>
    <n v="500"/>
    <n v="2500"/>
  </r>
  <r>
    <n v="1003"/>
    <d v="2026-01-03T00:00:00"/>
    <x v="2"/>
    <s v="Accessories"/>
    <x v="2"/>
    <n v="3"/>
    <n v="1200"/>
    <n v="3600"/>
  </r>
  <r>
    <n v="1004"/>
    <d v="2026-01-05T00:00:00"/>
    <x v="3"/>
    <s v="Electronics"/>
    <x v="3"/>
    <n v="2"/>
    <n v="12000"/>
    <n v="24000"/>
  </r>
  <r>
    <n v="1005"/>
    <d v="2026-01-08T00:00:00"/>
    <x v="0"/>
    <s v="Electronics"/>
    <x v="1"/>
    <n v="1"/>
    <n v="45000"/>
    <n v="45000"/>
  </r>
  <r>
    <n v="1006"/>
    <d v="2026-01-10T00:00:00"/>
    <x v="4"/>
    <s v="Accessories"/>
    <x v="0"/>
    <n v="4"/>
    <n v="2000"/>
    <n v="8000"/>
  </r>
  <r>
    <n v="1007"/>
    <d v="2026-01-12T00:00:00"/>
    <x v="5"/>
    <s v="Electronics"/>
    <x v="2"/>
    <n v="2"/>
    <n v="8500"/>
    <n v="17000"/>
  </r>
  <r>
    <n v="1008"/>
    <d v="2026-01-15T00:00:00"/>
    <x v="1"/>
    <s v="Accessories"/>
    <x v="3"/>
    <n v="10"/>
    <n v="500"/>
    <n v="5000"/>
  </r>
  <r>
    <n v="1009"/>
    <d v="2026-01-18T00:00:00"/>
    <x v="2"/>
    <s v="Accessories"/>
    <x v="0"/>
    <n v="6"/>
    <n v="1200"/>
    <n v="7200"/>
  </r>
  <r>
    <n v="1010"/>
    <d v="2026-01-20T00:00:00"/>
    <x v="3"/>
    <s v="Electronics"/>
    <x v="1"/>
    <n v="3"/>
    <n v="12000"/>
    <n v="36000"/>
  </r>
  <r>
    <n v="1011"/>
    <d v="2026-02-02T00:00:00"/>
    <x v="0"/>
    <s v="Electronics"/>
    <x v="3"/>
    <n v="2"/>
    <n v="45000"/>
    <n v="90000"/>
  </r>
  <r>
    <n v="1012"/>
    <d v="2026-02-04T00:00:00"/>
    <x v="1"/>
    <s v="Accessories"/>
    <x v="2"/>
    <n v="8"/>
    <n v="500"/>
    <n v="4000"/>
  </r>
  <r>
    <n v="1013"/>
    <d v="2026-02-06T00:00:00"/>
    <x v="5"/>
    <s v="Electronics"/>
    <x v="0"/>
    <n v="1"/>
    <n v="8500"/>
    <n v="8500"/>
  </r>
  <r>
    <n v="1014"/>
    <d v="2026-02-09T00:00:00"/>
    <x v="4"/>
    <s v="Accessories"/>
    <x v="1"/>
    <n v="5"/>
    <n v="2000"/>
    <n v="10000"/>
  </r>
  <r>
    <n v="1015"/>
    <d v="2026-02-12T00:00:00"/>
    <x v="3"/>
    <s v="Electronics"/>
    <x v="2"/>
    <n v="2"/>
    <n v="12000"/>
    <n v="24000"/>
  </r>
  <r>
    <n v="1016"/>
    <d v="2026-02-15T00:00:00"/>
    <x v="2"/>
    <s v="Accessories"/>
    <x v="3"/>
    <n v="4"/>
    <n v="1200"/>
    <n v="4800"/>
  </r>
  <r>
    <n v="1017"/>
    <d v="2026-02-18T00:00:00"/>
    <x v="0"/>
    <s v="Electronics"/>
    <x v="0"/>
    <n v="1"/>
    <n v="45000"/>
    <n v="45000"/>
  </r>
  <r>
    <n v="1018"/>
    <d v="2026-02-21T00:00:00"/>
    <x v="1"/>
    <s v="Accessories"/>
    <x v="1"/>
    <n v="6"/>
    <n v="500"/>
    <n v="3000"/>
  </r>
  <r>
    <n v="1019"/>
    <d v="2026-03-03T00:00:00"/>
    <x v="5"/>
    <s v="Electronics"/>
    <x v="3"/>
    <n v="3"/>
    <n v="8500"/>
    <n v="25500"/>
  </r>
  <r>
    <n v="1020"/>
    <d v="2026-03-06T00:00:00"/>
    <x v="4"/>
    <s v="Accessories"/>
    <x v="2"/>
    <n v="4"/>
    <n v="2000"/>
    <n v="8000"/>
  </r>
  <r>
    <n v="1021"/>
    <d v="2026-03-09T00:00:00"/>
    <x v="0"/>
    <s v="Electronics"/>
    <x v="2"/>
    <n v="2"/>
    <n v="45000"/>
    <n v="90000"/>
  </r>
  <r>
    <n v="1022"/>
    <d v="2026-03-12T00:00:00"/>
    <x v="3"/>
    <s v="Electronics"/>
    <x v="0"/>
    <n v="1"/>
    <n v="12000"/>
    <n v="12000"/>
  </r>
  <r>
    <n v="1023"/>
    <d v="2026-03-15T00:00:00"/>
    <x v="2"/>
    <s v="Accessories"/>
    <x v="1"/>
    <n v="7"/>
    <n v="1200"/>
    <n v="8400"/>
  </r>
  <r>
    <n v="1024"/>
    <d v="2026-03-18T00:00:00"/>
    <x v="1"/>
    <s v="Accessories"/>
    <x v="3"/>
    <n v="12"/>
    <n v="500"/>
    <n v="6000"/>
  </r>
  <r>
    <n v="1025"/>
    <d v="2026-03-21T00:00:00"/>
    <x v="5"/>
    <s v="Electronics"/>
    <x v="1"/>
    <n v="2"/>
    <n v="8500"/>
    <n v="17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895F95-E961-4330-9BF4-79A79AD5FB7C}"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rowPageCount="1" colPageCount="1"/>
  <pivotFields count="8">
    <pivotField showAll="0"/>
    <pivotField numFmtId="14" showAll="0"/>
    <pivotField axis="axisRow" showAll="0">
      <items count="7">
        <item x="4"/>
        <item x="2"/>
        <item x="0"/>
        <item x="3"/>
        <item x="1"/>
        <item x="5"/>
        <item t="default"/>
      </items>
    </pivotField>
    <pivotField showAll="0"/>
    <pivotField axis="axisPage" multipleItemSelectionAllowed="1" showAll="0">
      <items count="5">
        <item h="1" x="3"/>
        <item h="1" x="1"/>
        <item x="0"/>
        <item h="1" x="2"/>
        <item t="default"/>
      </items>
    </pivotField>
    <pivotField showAll="0"/>
    <pivotField numFmtId="166" showAll="0"/>
    <pivotField dataField="1" numFmtId="166" showAll="0"/>
  </pivotFields>
  <rowFields count="1">
    <field x="2"/>
  </rowFields>
  <rowItems count="6">
    <i>
      <x/>
    </i>
    <i>
      <x v="1"/>
    </i>
    <i>
      <x v="2"/>
    </i>
    <i>
      <x v="3"/>
    </i>
    <i>
      <x v="5"/>
    </i>
    <i t="grand">
      <x/>
    </i>
  </rowItems>
  <colItems count="1">
    <i/>
  </colItems>
  <pageFields count="1">
    <pageField fld="4" hier="-1"/>
  </pageFields>
  <dataFields count="1">
    <dataField name="Sum of Revenue" fld="7" baseField="0" baseItem="0" numFmtId="166"/>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2F57162-BCF5-402D-94A5-4AD7609E41C1}" sourceName="Region">
  <pivotTables>
    <pivotTable tabId="4" name="PivotTable1"/>
  </pivotTables>
  <data>
    <tabular pivotCacheId="2139409131">
      <items count="4">
        <i x="3"/>
        <i x="1"/>
        <i x="0"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8FC6190-D3FF-47FF-9CD4-EBD3D9989C9D}"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088CB1-2F31-4424-BD0B-E631747F6DB9}" name="Table1" displayName="Table1" ref="A1:H26" totalsRowShown="0">
  <autoFilter ref="A1:H26" xr:uid="{21088CB1-2F31-4424-BD0B-E631747F6DB9}"/>
  <tableColumns count="8">
    <tableColumn id="1" xr3:uid="{36CD498E-BDB2-4276-8DEA-CC7E80133932}" name="Order_ID"/>
    <tableColumn id="2" xr3:uid="{401494BB-1F81-4B41-8282-A0B9DD841818}" name="Order_Date" dataDxfId="2"/>
    <tableColumn id="3" xr3:uid="{18DC5D8A-9897-4D77-9C5F-1C6DEE1CC6EE}" name="Product"/>
    <tableColumn id="4" xr3:uid="{C7567F4B-C26B-46B1-9314-CA637535CDEC}" name="Category"/>
    <tableColumn id="5" xr3:uid="{A0CFD534-CECC-4FBD-883E-4814E5ADF633}" name="Region"/>
    <tableColumn id="6" xr3:uid="{EB766B58-2DDD-4961-BA25-3170EB1BA036}" name="Quantity"/>
    <tableColumn id="7" xr3:uid="{E62D34CF-9C55-40C3-B02C-5772AA24CCD1}" name="Unit_price" dataDxfId="1"/>
    <tableColumn id="8" xr3:uid="{8FBFDEC6-2AE9-405A-9E99-EFA06E85F70D}" name="Revenue" dataDxfId="0">
      <calculatedColumnFormula>F2*G2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E6C59-5A29-45EE-8076-35D6DD3AC2F8}">
  <dimension ref="A1:B9"/>
  <sheetViews>
    <sheetView workbookViewId="0">
      <selection activeCell="A4" sqref="A4"/>
    </sheetView>
  </sheetViews>
  <sheetFormatPr defaultRowHeight="14.4" x14ac:dyDescent="0.3"/>
  <cols>
    <col min="1" max="1" width="12.5546875" bestFit="1" customWidth="1"/>
    <col min="2" max="2" width="14.88671875" bestFit="1" customWidth="1"/>
  </cols>
  <sheetData>
    <row r="1" spans="1:2" x14ac:dyDescent="0.3">
      <c r="A1" s="9" t="s">
        <v>3</v>
      </c>
      <c r="B1" t="s">
        <v>10</v>
      </c>
    </row>
    <row r="3" spans="1:2" x14ac:dyDescent="0.3">
      <c r="A3" s="9" t="s">
        <v>30</v>
      </c>
      <c r="B3" t="s">
        <v>32</v>
      </c>
    </row>
    <row r="4" spans="1:2" x14ac:dyDescent="0.3">
      <c r="A4" s="10" t="s">
        <v>18</v>
      </c>
      <c r="B4" s="2">
        <v>8000</v>
      </c>
    </row>
    <row r="5" spans="1:2" x14ac:dyDescent="0.3">
      <c r="A5" s="10" t="s">
        <v>14</v>
      </c>
      <c r="B5" s="2">
        <v>7200</v>
      </c>
    </row>
    <row r="6" spans="1:2" x14ac:dyDescent="0.3">
      <c r="A6" s="10" t="s">
        <v>8</v>
      </c>
      <c r="B6" s="2">
        <v>135000</v>
      </c>
    </row>
    <row r="7" spans="1:2" x14ac:dyDescent="0.3">
      <c r="A7" s="10" t="s">
        <v>16</v>
      </c>
      <c r="B7" s="2">
        <v>12000</v>
      </c>
    </row>
    <row r="8" spans="1:2" x14ac:dyDescent="0.3">
      <c r="A8" s="10" t="s">
        <v>19</v>
      </c>
      <c r="B8" s="2">
        <v>8500</v>
      </c>
    </row>
    <row r="9" spans="1:2" x14ac:dyDescent="0.3">
      <c r="A9" s="10" t="s">
        <v>31</v>
      </c>
      <c r="B9" s="2">
        <v>170700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1CFC3-C9E9-4666-A813-3809AF7ADC87}">
  <dimension ref="A1:H26"/>
  <sheetViews>
    <sheetView workbookViewId="0">
      <selection activeCell="A2" sqref="A2"/>
    </sheetView>
  </sheetViews>
  <sheetFormatPr defaultRowHeight="14.4" x14ac:dyDescent="0.3"/>
  <cols>
    <col min="1" max="1" width="10.77734375" bestFit="1" customWidth="1"/>
    <col min="2" max="2" width="12.88671875" bestFit="1" customWidth="1"/>
    <col min="3" max="3" width="11.109375" customWidth="1"/>
    <col min="4" max="4" width="10.77734375" bestFit="1" customWidth="1"/>
    <col min="5" max="5" width="9" bestFit="1" customWidth="1"/>
    <col min="6" max="6" width="10.5546875" bestFit="1" customWidth="1"/>
    <col min="7" max="7" width="11.88671875" bestFit="1" customWidth="1"/>
    <col min="8" max="8" width="10.5546875" bestFit="1" customWidth="1"/>
  </cols>
  <sheetData>
    <row r="1" spans="1:8" x14ac:dyDescent="0.3">
      <c r="A1" t="s">
        <v>0</v>
      </c>
      <c r="B1" s="1" t="s">
        <v>7</v>
      </c>
      <c r="C1" t="s">
        <v>1</v>
      </c>
      <c r="D1" t="s">
        <v>2</v>
      </c>
      <c r="E1" t="s">
        <v>3</v>
      </c>
      <c r="F1" t="s">
        <v>4</v>
      </c>
      <c r="G1" t="s">
        <v>5</v>
      </c>
      <c r="H1" t="s">
        <v>6</v>
      </c>
    </row>
    <row r="2" spans="1:8" x14ac:dyDescent="0.3">
      <c r="A2">
        <v>1001</v>
      </c>
      <c r="B2" s="1">
        <v>46023</v>
      </c>
      <c r="C2" t="s">
        <v>8</v>
      </c>
      <c r="D2" t="s">
        <v>9</v>
      </c>
      <c r="E2" t="s">
        <v>10</v>
      </c>
      <c r="F2">
        <v>2</v>
      </c>
      <c r="G2" s="2">
        <v>45000</v>
      </c>
      <c r="H2" s="2">
        <f>F2*G2</f>
        <v>90000</v>
      </c>
    </row>
    <row r="3" spans="1:8" x14ac:dyDescent="0.3">
      <c r="A3">
        <v>1002</v>
      </c>
      <c r="B3" s="1">
        <v>46024</v>
      </c>
      <c r="C3" t="s">
        <v>11</v>
      </c>
      <c r="D3" t="s">
        <v>12</v>
      </c>
      <c r="E3" t="s">
        <v>13</v>
      </c>
      <c r="F3">
        <v>5</v>
      </c>
      <c r="G3" s="2">
        <v>500</v>
      </c>
      <c r="H3" s="2">
        <f t="shared" ref="H3:H26" si="0">F3*G3</f>
        <v>2500</v>
      </c>
    </row>
    <row r="4" spans="1:8" x14ac:dyDescent="0.3">
      <c r="A4">
        <v>1003</v>
      </c>
      <c r="B4" s="1">
        <v>46025</v>
      </c>
      <c r="C4" t="s">
        <v>14</v>
      </c>
      <c r="D4" t="s">
        <v>12</v>
      </c>
      <c r="E4" t="s">
        <v>15</v>
      </c>
      <c r="F4">
        <v>3</v>
      </c>
      <c r="G4" s="2">
        <v>1200</v>
      </c>
      <c r="H4" s="2">
        <f t="shared" si="0"/>
        <v>3600</v>
      </c>
    </row>
    <row r="5" spans="1:8" x14ac:dyDescent="0.3">
      <c r="A5">
        <v>1004</v>
      </c>
      <c r="B5" s="1">
        <v>46027</v>
      </c>
      <c r="C5" t="s">
        <v>16</v>
      </c>
      <c r="D5" t="s">
        <v>9</v>
      </c>
      <c r="E5" t="s">
        <v>17</v>
      </c>
      <c r="F5">
        <v>2</v>
      </c>
      <c r="G5" s="2">
        <v>12000</v>
      </c>
      <c r="H5" s="2">
        <f t="shared" si="0"/>
        <v>24000</v>
      </c>
    </row>
    <row r="6" spans="1:8" x14ac:dyDescent="0.3">
      <c r="A6">
        <v>1005</v>
      </c>
      <c r="B6" s="1">
        <v>46030</v>
      </c>
      <c r="C6" t="s">
        <v>8</v>
      </c>
      <c r="D6" t="s">
        <v>9</v>
      </c>
      <c r="E6" t="s">
        <v>13</v>
      </c>
      <c r="F6">
        <v>1</v>
      </c>
      <c r="G6" s="2">
        <v>45000</v>
      </c>
      <c r="H6" s="2">
        <f t="shared" si="0"/>
        <v>45000</v>
      </c>
    </row>
    <row r="7" spans="1:8" x14ac:dyDescent="0.3">
      <c r="A7">
        <v>1006</v>
      </c>
      <c r="B7" s="1">
        <v>46032</v>
      </c>
      <c r="C7" t="s">
        <v>18</v>
      </c>
      <c r="D7" t="s">
        <v>12</v>
      </c>
      <c r="E7" t="s">
        <v>10</v>
      </c>
      <c r="F7">
        <v>4</v>
      </c>
      <c r="G7" s="2">
        <v>2000</v>
      </c>
      <c r="H7" s="2">
        <f t="shared" si="0"/>
        <v>8000</v>
      </c>
    </row>
    <row r="8" spans="1:8" x14ac:dyDescent="0.3">
      <c r="A8">
        <v>1007</v>
      </c>
      <c r="B8" s="1">
        <v>46034</v>
      </c>
      <c r="C8" t="s">
        <v>19</v>
      </c>
      <c r="D8" t="s">
        <v>9</v>
      </c>
      <c r="E8" t="s">
        <v>15</v>
      </c>
      <c r="F8">
        <v>2</v>
      </c>
      <c r="G8" s="2">
        <v>8500</v>
      </c>
      <c r="H8" s="2">
        <f t="shared" si="0"/>
        <v>17000</v>
      </c>
    </row>
    <row r="9" spans="1:8" x14ac:dyDescent="0.3">
      <c r="A9">
        <v>1008</v>
      </c>
      <c r="B9" s="1">
        <v>46037</v>
      </c>
      <c r="C9" t="s">
        <v>11</v>
      </c>
      <c r="D9" t="s">
        <v>12</v>
      </c>
      <c r="E9" t="s">
        <v>17</v>
      </c>
      <c r="F9">
        <v>10</v>
      </c>
      <c r="G9" s="2">
        <v>500</v>
      </c>
      <c r="H9" s="2">
        <f t="shared" si="0"/>
        <v>5000</v>
      </c>
    </row>
    <row r="10" spans="1:8" x14ac:dyDescent="0.3">
      <c r="A10">
        <v>1009</v>
      </c>
      <c r="B10" s="1">
        <v>46040</v>
      </c>
      <c r="C10" t="s">
        <v>14</v>
      </c>
      <c r="D10" t="s">
        <v>12</v>
      </c>
      <c r="E10" t="s">
        <v>10</v>
      </c>
      <c r="F10">
        <v>6</v>
      </c>
      <c r="G10" s="2">
        <v>1200</v>
      </c>
      <c r="H10" s="2">
        <f t="shared" si="0"/>
        <v>7200</v>
      </c>
    </row>
    <row r="11" spans="1:8" x14ac:dyDescent="0.3">
      <c r="A11">
        <v>1010</v>
      </c>
      <c r="B11" s="1">
        <v>46042</v>
      </c>
      <c r="C11" t="s">
        <v>16</v>
      </c>
      <c r="D11" t="s">
        <v>9</v>
      </c>
      <c r="E11" t="s">
        <v>13</v>
      </c>
      <c r="F11">
        <v>3</v>
      </c>
      <c r="G11" s="2">
        <v>12000</v>
      </c>
      <c r="H11" s="2">
        <f t="shared" si="0"/>
        <v>36000</v>
      </c>
    </row>
    <row r="12" spans="1:8" x14ac:dyDescent="0.3">
      <c r="A12">
        <v>1011</v>
      </c>
      <c r="B12" s="1">
        <v>46055</v>
      </c>
      <c r="C12" t="s">
        <v>8</v>
      </c>
      <c r="D12" t="s">
        <v>9</v>
      </c>
      <c r="E12" t="s">
        <v>17</v>
      </c>
      <c r="F12">
        <v>2</v>
      </c>
      <c r="G12" s="2">
        <v>45000</v>
      </c>
      <c r="H12" s="2">
        <f t="shared" si="0"/>
        <v>90000</v>
      </c>
    </row>
    <row r="13" spans="1:8" x14ac:dyDescent="0.3">
      <c r="A13">
        <v>1012</v>
      </c>
      <c r="B13" s="1">
        <v>46057</v>
      </c>
      <c r="C13" t="s">
        <v>11</v>
      </c>
      <c r="D13" t="s">
        <v>12</v>
      </c>
      <c r="E13" t="s">
        <v>15</v>
      </c>
      <c r="F13">
        <v>8</v>
      </c>
      <c r="G13" s="2">
        <v>500</v>
      </c>
      <c r="H13" s="2">
        <f t="shared" si="0"/>
        <v>4000</v>
      </c>
    </row>
    <row r="14" spans="1:8" x14ac:dyDescent="0.3">
      <c r="A14">
        <v>1013</v>
      </c>
      <c r="B14" s="1">
        <v>46059</v>
      </c>
      <c r="C14" t="s">
        <v>19</v>
      </c>
      <c r="D14" t="s">
        <v>9</v>
      </c>
      <c r="E14" t="s">
        <v>10</v>
      </c>
      <c r="F14">
        <v>1</v>
      </c>
      <c r="G14" s="2">
        <v>8500</v>
      </c>
      <c r="H14" s="2">
        <f t="shared" si="0"/>
        <v>8500</v>
      </c>
    </row>
    <row r="15" spans="1:8" x14ac:dyDescent="0.3">
      <c r="A15">
        <v>1014</v>
      </c>
      <c r="B15" s="1">
        <v>46062</v>
      </c>
      <c r="C15" t="s">
        <v>18</v>
      </c>
      <c r="D15" t="s">
        <v>12</v>
      </c>
      <c r="E15" t="s">
        <v>13</v>
      </c>
      <c r="F15">
        <v>5</v>
      </c>
      <c r="G15" s="2">
        <v>2000</v>
      </c>
      <c r="H15" s="2">
        <f t="shared" si="0"/>
        <v>10000</v>
      </c>
    </row>
    <row r="16" spans="1:8" x14ac:dyDescent="0.3">
      <c r="A16">
        <v>1015</v>
      </c>
      <c r="B16" s="1">
        <v>46065</v>
      </c>
      <c r="C16" t="s">
        <v>16</v>
      </c>
      <c r="D16" t="s">
        <v>9</v>
      </c>
      <c r="E16" t="s">
        <v>15</v>
      </c>
      <c r="F16">
        <v>2</v>
      </c>
      <c r="G16" s="2">
        <v>12000</v>
      </c>
      <c r="H16" s="2">
        <f t="shared" si="0"/>
        <v>24000</v>
      </c>
    </row>
    <row r="17" spans="1:8" x14ac:dyDescent="0.3">
      <c r="A17">
        <v>1016</v>
      </c>
      <c r="B17" s="1">
        <v>46068</v>
      </c>
      <c r="C17" t="s">
        <v>14</v>
      </c>
      <c r="D17" t="s">
        <v>12</v>
      </c>
      <c r="E17" t="s">
        <v>17</v>
      </c>
      <c r="F17">
        <v>4</v>
      </c>
      <c r="G17" s="2">
        <v>1200</v>
      </c>
      <c r="H17" s="2">
        <f t="shared" si="0"/>
        <v>4800</v>
      </c>
    </row>
    <row r="18" spans="1:8" x14ac:dyDescent="0.3">
      <c r="A18">
        <v>1017</v>
      </c>
      <c r="B18" s="1">
        <v>46071</v>
      </c>
      <c r="C18" t="s">
        <v>8</v>
      </c>
      <c r="D18" t="s">
        <v>9</v>
      </c>
      <c r="E18" t="s">
        <v>10</v>
      </c>
      <c r="F18">
        <v>1</v>
      </c>
      <c r="G18" s="2">
        <v>45000</v>
      </c>
      <c r="H18" s="2">
        <f t="shared" si="0"/>
        <v>45000</v>
      </c>
    </row>
    <row r="19" spans="1:8" x14ac:dyDescent="0.3">
      <c r="A19">
        <v>1018</v>
      </c>
      <c r="B19" s="1">
        <v>46074</v>
      </c>
      <c r="C19" t="s">
        <v>11</v>
      </c>
      <c r="D19" t="s">
        <v>12</v>
      </c>
      <c r="E19" t="s">
        <v>13</v>
      </c>
      <c r="F19">
        <v>6</v>
      </c>
      <c r="G19" s="2">
        <v>500</v>
      </c>
      <c r="H19" s="2">
        <f t="shared" si="0"/>
        <v>3000</v>
      </c>
    </row>
    <row r="20" spans="1:8" x14ac:dyDescent="0.3">
      <c r="A20">
        <v>1019</v>
      </c>
      <c r="B20" s="1">
        <v>46084</v>
      </c>
      <c r="C20" t="s">
        <v>19</v>
      </c>
      <c r="D20" t="s">
        <v>9</v>
      </c>
      <c r="E20" t="s">
        <v>17</v>
      </c>
      <c r="F20">
        <v>3</v>
      </c>
      <c r="G20" s="2">
        <v>8500</v>
      </c>
      <c r="H20" s="2">
        <f t="shared" si="0"/>
        <v>25500</v>
      </c>
    </row>
    <row r="21" spans="1:8" x14ac:dyDescent="0.3">
      <c r="A21">
        <v>1020</v>
      </c>
      <c r="B21" s="1">
        <v>46087</v>
      </c>
      <c r="C21" t="s">
        <v>18</v>
      </c>
      <c r="D21" t="s">
        <v>12</v>
      </c>
      <c r="E21" t="s">
        <v>15</v>
      </c>
      <c r="F21">
        <v>4</v>
      </c>
      <c r="G21" s="2">
        <v>2000</v>
      </c>
      <c r="H21" s="2">
        <f t="shared" si="0"/>
        <v>8000</v>
      </c>
    </row>
    <row r="22" spans="1:8" x14ac:dyDescent="0.3">
      <c r="A22">
        <v>1021</v>
      </c>
      <c r="B22" s="1">
        <v>46090</v>
      </c>
      <c r="C22" t="s">
        <v>8</v>
      </c>
      <c r="D22" t="s">
        <v>9</v>
      </c>
      <c r="E22" t="s">
        <v>15</v>
      </c>
      <c r="F22">
        <v>2</v>
      </c>
      <c r="G22" s="2">
        <v>45000</v>
      </c>
      <c r="H22" s="2">
        <f t="shared" si="0"/>
        <v>90000</v>
      </c>
    </row>
    <row r="23" spans="1:8" x14ac:dyDescent="0.3">
      <c r="A23">
        <v>1022</v>
      </c>
      <c r="B23" s="1">
        <v>46093</v>
      </c>
      <c r="C23" t="s">
        <v>16</v>
      </c>
      <c r="D23" t="s">
        <v>9</v>
      </c>
      <c r="E23" t="s">
        <v>10</v>
      </c>
      <c r="F23">
        <v>1</v>
      </c>
      <c r="G23" s="2">
        <v>12000</v>
      </c>
      <c r="H23" s="2">
        <f t="shared" si="0"/>
        <v>12000</v>
      </c>
    </row>
    <row r="24" spans="1:8" x14ac:dyDescent="0.3">
      <c r="A24">
        <v>1023</v>
      </c>
      <c r="B24" s="1">
        <v>46096</v>
      </c>
      <c r="C24" t="s">
        <v>14</v>
      </c>
      <c r="D24" t="s">
        <v>12</v>
      </c>
      <c r="E24" t="s">
        <v>13</v>
      </c>
      <c r="F24">
        <v>7</v>
      </c>
      <c r="G24" s="2">
        <v>1200</v>
      </c>
      <c r="H24" s="2">
        <f t="shared" si="0"/>
        <v>8400</v>
      </c>
    </row>
    <row r="25" spans="1:8" x14ac:dyDescent="0.3">
      <c r="A25">
        <v>1024</v>
      </c>
      <c r="B25" s="1">
        <v>46099</v>
      </c>
      <c r="C25" t="s">
        <v>11</v>
      </c>
      <c r="D25" t="s">
        <v>12</v>
      </c>
      <c r="E25" t="s">
        <v>17</v>
      </c>
      <c r="F25">
        <v>12</v>
      </c>
      <c r="G25" s="2">
        <v>500</v>
      </c>
      <c r="H25" s="2">
        <f t="shared" si="0"/>
        <v>6000</v>
      </c>
    </row>
    <row r="26" spans="1:8" x14ac:dyDescent="0.3">
      <c r="A26">
        <v>1025</v>
      </c>
      <c r="B26" s="1">
        <v>46102</v>
      </c>
      <c r="C26" t="s">
        <v>19</v>
      </c>
      <c r="D26" t="s">
        <v>9</v>
      </c>
      <c r="E26" t="s">
        <v>13</v>
      </c>
      <c r="F26">
        <v>2</v>
      </c>
      <c r="G26" s="2">
        <v>8500</v>
      </c>
      <c r="H26" s="2">
        <f t="shared" si="0"/>
        <v>17000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D55E0-B76C-426B-A8AA-D32FA4730FBD}">
  <dimension ref="A1:I8"/>
  <sheetViews>
    <sheetView zoomScale="81" workbookViewId="0">
      <selection activeCell="G27" sqref="G27"/>
    </sheetView>
  </sheetViews>
  <sheetFormatPr defaultRowHeight="14.4" x14ac:dyDescent="0.3"/>
  <cols>
    <col min="1" max="1" width="24.88671875" customWidth="1"/>
    <col min="4" max="4" width="11.77734375" customWidth="1"/>
    <col min="5" max="5" width="13.33203125" customWidth="1"/>
    <col min="6" max="6" width="13.77734375" customWidth="1"/>
    <col min="8" max="9" width="13.77734375" customWidth="1"/>
  </cols>
  <sheetData>
    <row r="1" spans="1:9" x14ac:dyDescent="0.3">
      <c r="A1" t="s">
        <v>20</v>
      </c>
    </row>
    <row r="2" spans="1:9" x14ac:dyDescent="0.3">
      <c r="A2" t="s">
        <v>21</v>
      </c>
      <c r="B2" t="s">
        <v>25</v>
      </c>
      <c r="D2" t="s">
        <v>1</v>
      </c>
      <c r="E2" t="s">
        <v>24</v>
      </c>
      <c r="F2" t="s">
        <v>26</v>
      </c>
      <c r="H2" t="s">
        <v>3</v>
      </c>
      <c r="I2" t="s">
        <v>26</v>
      </c>
    </row>
    <row r="3" spans="1:9" x14ac:dyDescent="0.3">
      <c r="A3" t="s">
        <v>22</v>
      </c>
      <c r="B3">
        <f>SUM(Raw_Data!H2:H26)</f>
        <v>594500</v>
      </c>
      <c r="D3" t="s">
        <v>8</v>
      </c>
      <c r="E3">
        <f>SUMIF(Raw_Data!C:C,D3,Raw_Data!F:F)</f>
        <v>8</v>
      </c>
      <c r="F3">
        <f>SUMIF(Raw_Data!C:C,D3,Raw_Data!H:H)</f>
        <v>360000</v>
      </c>
      <c r="H3" t="s">
        <v>13</v>
      </c>
      <c r="I3">
        <f>SUMIF(Raw_Data!E:E,H3,Raw_Data!H:H)</f>
        <v>121900</v>
      </c>
    </row>
    <row r="4" spans="1:9" x14ac:dyDescent="0.3">
      <c r="A4" t="s">
        <v>23</v>
      </c>
      <c r="B4">
        <f>COUNTA(Raw_Data!A2:A26)</f>
        <v>25</v>
      </c>
      <c r="D4" t="s">
        <v>11</v>
      </c>
      <c r="E4">
        <f>SUMIF(Raw_Data!C:C,D4,Raw_Data!F:F)</f>
        <v>41</v>
      </c>
      <c r="F4">
        <f>SUMIF(Raw_Data!C:C,D4,Raw_Data!H:H)</f>
        <v>20500</v>
      </c>
      <c r="H4" t="s">
        <v>10</v>
      </c>
      <c r="I4">
        <f>SUMIF(Raw_Data!E:E,H4,Raw_Data!H:H)</f>
        <v>170700</v>
      </c>
    </row>
    <row r="5" spans="1:9" x14ac:dyDescent="0.3">
      <c r="A5" t="s">
        <v>24</v>
      </c>
      <c r="B5">
        <f>SUM(Raw_Data!F2:F26)</f>
        <v>98</v>
      </c>
      <c r="D5" t="s">
        <v>14</v>
      </c>
      <c r="E5">
        <f>SUMIF(Raw_Data!C:C,D5,Raw_Data!F:F)</f>
        <v>20</v>
      </c>
      <c r="F5">
        <f>SUMIF(Raw_Data!C:C,D5,Raw_Data!H:H)</f>
        <v>24000</v>
      </c>
      <c r="H5" t="s">
        <v>17</v>
      </c>
      <c r="I5">
        <f>SUMIF(Raw_Data!E:E,H5,Raw_Data!H:H)</f>
        <v>155300</v>
      </c>
    </row>
    <row r="6" spans="1:9" x14ac:dyDescent="0.3">
      <c r="D6" t="s">
        <v>16</v>
      </c>
      <c r="E6">
        <f>SUMIF(Raw_Data!C:C,D6,Raw_Data!F:F)</f>
        <v>8</v>
      </c>
      <c r="F6">
        <f>SUMIF(Raw_Data!C:C,D6,Raw_Data!H:H)</f>
        <v>96000</v>
      </c>
      <c r="H6" t="s">
        <v>15</v>
      </c>
      <c r="I6">
        <f>SUMIF(Raw_Data!E:E,H6,Raw_Data!H:H)</f>
        <v>146600</v>
      </c>
    </row>
    <row r="7" spans="1:9" x14ac:dyDescent="0.3">
      <c r="D7" t="s">
        <v>18</v>
      </c>
      <c r="E7">
        <f>SUMIF(Raw_Data!C:C,D7,Raw_Data!F:F)</f>
        <v>13</v>
      </c>
      <c r="F7">
        <f>SUMIF(Raw_Data!C:C,D7,Raw_Data!H:H)</f>
        <v>26000</v>
      </c>
    </row>
    <row r="8" spans="1:9" x14ac:dyDescent="0.3">
      <c r="D8" t="s">
        <v>27</v>
      </c>
      <c r="E8">
        <f>SUMIF(Raw_Data!C:C,D8,Raw_Data!F:F)</f>
        <v>8</v>
      </c>
      <c r="F8">
        <f>SUMIF(Raw_Data!C:C,D8,Raw_Data!H:H)</f>
        <v>68000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FDAD0-393E-4533-92F1-41664A0E19DA}">
  <dimension ref="A1:H25"/>
  <sheetViews>
    <sheetView tabSelected="1" zoomScale="84" zoomScaleNormal="60" workbookViewId="0">
      <selection activeCell="I24" sqref="I24"/>
    </sheetView>
  </sheetViews>
  <sheetFormatPr defaultRowHeight="14.4" x14ac:dyDescent="0.3"/>
  <cols>
    <col min="1" max="1" width="30.21875" bestFit="1" customWidth="1"/>
    <col min="2" max="2" width="11.88671875" bestFit="1" customWidth="1"/>
    <col min="3" max="3" width="10.6640625" customWidth="1"/>
    <col min="5" max="5" width="12.6640625" bestFit="1" customWidth="1"/>
  </cols>
  <sheetData>
    <row r="1" spans="1:6" ht="21" x14ac:dyDescent="0.4">
      <c r="A1" s="3" t="s">
        <v>28</v>
      </c>
      <c r="B1" s="3"/>
      <c r="C1" s="3"/>
      <c r="D1" s="3"/>
      <c r="E1" s="3"/>
      <c r="F1" s="3"/>
    </row>
    <row r="3" spans="1:6" x14ac:dyDescent="0.3">
      <c r="A3" s="4" t="s">
        <v>22</v>
      </c>
      <c r="B3" s="8">
        <f>Sales_Analysis!B3</f>
        <v>594500</v>
      </c>
      <c r="C3" s="5" t="s">
        <v>23</v>
      </c>
      <c r="D3" s="5">
        <f>Sales_Analysis!B4</f>
        <v>25</v>
      </c>
      <c r="E3" s="6" t="s">
        <v>24</v>
      </c>
      <c r="F3" s="6">
        <f>Sales_Analysis!B5</f>
        <v>98</v>
      </c>
    </row>
    <row r="7" spans="1:6" x14ac:dyDescent="0.3">
      <c r="F7" s="7"/>
    </row>
    <row r="25" spans="8:8" x14ac:dyDescent="0.3">
      <c r="H25" t="s">
        <v>29</v>
      </c>
    </row>
  </sheetData>
  <mergeCells count="1">
    <mergeCell ref="A1:F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Sheet4</vt:lpstr>
      <vt:lpstr>Raw_Data</vt:lpstr>
      <vt:lpstr>Sales_Analysis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SANDHYA BK</dc:creator>
  <cp:lastModifiedBy>SANDHYA BK</cp:lastModifiedBy>
  <dcterms:created xsi:type="dcterms:W3CDTF">2026-10-15T04:30:39Z</dcterms:created>
  <dcterms:modified xsi:type="dcterms:W3CDTF">2026-10-15T16:21:10Z</dcterms:modified>
</cp:coreProperties>
</file>